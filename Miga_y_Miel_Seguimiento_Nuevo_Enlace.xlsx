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n_c\Downloads\"/>
    </mc:Choice>
  </mc:AlternateContent>
  <xr:revisionPtr revIDLastSave="0" documentId="13_ncr:1_{8EBB1F5B-6D4F-4222-B06F-16776A3D60D5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Guia" sheetId="1" r:id="rId1"/>
    <sheet name="Kanban" sheetId="2" r:id="rId2"/>
    <sheet name="Niko-Niko" sheetId="3" r:id="rId3"/>
    <sheet name="Burndown" sheetId="4" r:id="rId4"/>
    <sheet name="Repositori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4" l="1"/>
  <c r="I8" i="3"/>
  <c r="I7" i="3"/>
  <c r="I6" i="3"/>
  <c r="I5" i="3"/>
  <c r="C5" i="2"/>
  <c r="F5" i="2" s="1"/>
  <c r="B5" i="2"/>
  <c r="A5" i="2"/>
  <c r="E5" i="2" l="1"/>
  <c r="C5" i="4" s="1"/>
  <c r="D5" i="4"/>
  <c r="A5" i="4"/>
  <c r="D9" i="4" l="1"/>
  <c r="C15" i="4"/>
  <c r="C14" i="4"/>
  <c r="C13" i="4"/>
  <c r="C12" i="4"/>
  <c r="C11" i="4"/>
  <c r="C10" i="4"/>
</calcChain>
</file>

<file path=xl/sharedStrings.xml><?xml version="1.0" encoding="utf-8"?>
<sst xmlns="http://schemas.openxmlformats.org/spreadsheetml/2006/main" count="204" uniqueCount="144">
  <si>
    <t>MIGA &amp; MIEL  |  HERRAMIENTAS DE SEGUIMIENTO</t>
  </si>
  <si>
    <t>Plantilla inicial para el equipo. No supone trabajo completado ni emociones registradas.</t>
  </si>
  <si>
    <t>Herramienta</t>
  </si>
  <si>
    <t>Dónde se configura</t>
  </si>
  <si>
    <t>Qué contiene este archivo</t>
  </si>
  <si>
    <t>Evidencia solicitada (sugerida)</t>
  </si>
  <si>
    <t>Kanban</t>
  </si>
  <si>
    <t>Trello (tablero compartido)</t>
  </si>
  <si>
    <t>12 historias, puntos, sprints, responsables y estado inicial</t>
  </si>
  <si>
    <t>Captura de las 4 columnas y tarjetas con responsables</t>
  </si>
  <si>
    <t>Niko-niko</t>
  </si>
  <si>
    <t>Esta hoja o Google Sheets compartido</t>
  </si>
  <si>
    <t>Registro diario por integrante y caritas (vacío hasta que cada uno responda)</t>
  </si>
  <si>
    <t>Captura de la tabla con registros verdaderos</t>
  </si>
  <si>
    <t>Burndown</t>
  </si>
  <si>
    <t>Esta hoja de Excel</t>
  </si>
  <si>
    <t>45 puntos de historia y gráfica ideal/real para 8 semanas</t>
  </si>
  <si>
    <t>Captura de la gráfica y registros de avance real</t>
  </si>
  <si>
    <t>Repositorio</t>
  </si>
  <si>
    <t>GitHub</t>
  </si>
  <si>
    <t>Guía de alta, archivos y evidencia de versiones</t>
  </si>
  <si>
    <t>Enlace al repositorio + captura de archivos y commits</t>
  </si>
  <si>
    <t>Cómo utilizar el archivo</t>
  </si>
  <si>
    <t>1. En Kanban, asignar responsables; cambiar el estado conforme avancen.</t>
  </si>
  <si>
    <t>2. Replicar las tarjetas en Trello para que todo el equipo vea el tablero compartido.</t>
  </si>
  <si>
    <t>3. En Niko-niko, sustituir Integrante 1–4 por nombres reales (agregar o quitar integrantes si hace falta).</t>
  </si>
  <si>
    <t>4. Al final de cada día trabajado, cada integrante registra su ánimo; no inventar datos.</t>
  </si>
  <si>
    <t>5. En Burndown, llenar 'Puntos pendientes reales' en cada fecha de revisión; la gráfica se actualiza.</t>
  </si>
  <si>
    <t>6. En GitHub, crear un repositorio y subir el archivo index.html del prototipo elegido.</t>
  </si>
  <si>
    <t>Nota: plan de ejemplo basado en los cuatro sprints propuestos (26/oct–18/dic/2026). Ajusten fechas a las de su curso.</t>
  </si>
  <si>
    <t>TABLERO KANBAN  |  MIGA &amp; MIEL</t>
  </si>
  <si>
    <t>Actualizar responsable y estado solo cuando el equipo realmente avance; tablero espejo de Trello.</t>
  </si>
  <si>
    <t>Historias</t>
  </si>
  <si>
    <t>Puntos totales</t>
  </si>
  <si>
    <t>Puntos terminados</t>
  </si>
  <si>
    <t>Puntos pendientes</t>
  </si>
  <si>
    <t>% avance</t>
  </si>
  <si>
    <t>ID</t>
  </si>
  <si>
    <t>Historia de usuario</t>
  </si>
  <si>
    <t>Prioridad</t>
  </si>
  <si>
    <t>Puntos</t>
  </si>
  <si>
    <t>Sprint</t>
  </si>
  <si>
    <t>Responsable</t>
  </si>
  <si>
    <t>Estado</t>
  </si>
  <si>
    <t>Depende de</t>
  </si>
  <si>
    <t>Nota / evidencia</t>
  </si>
  <si>
    <t>HU08</t>
  </si>
  <si>
    <t>Iniciar sesión como administradora</t>
  </si>
  <si>
    <t>Imprescindible</t>
  </si>
  <si>
    <t>Sprint 1</t>
  </si>
  <si>
    <t>—</t>
  </si>
  <si>
    <t>HU09</t>
  </si>
  <si>
    <t>Administrar catálogo de pasteles</t>
  </si>
  <si>
    <t>HU01</t>
  </si>
  <si>
    <t>Consultar catálogo de pasteles</t>
  </si>
  <si>
    <t>HU03</t>
  </si>
  <si>
    <t>Personalizar un pastel</t>
  </si>
  <si>
    <t>Sprint 2</t>
  </si>
  <si>
    <t>HU10</t>
  </si>
  <si>
    <t>Gestionar fechas de recepción de pedidos</t>
  </si>
  <si>
    <t>HU04</t>
  </si>
  <si>
    <t>Consultar fechas disponibles</t>
  </si>
  <si>
    <t>HU05</t>
  </si>
  <si>
    <t>Enviar solicitud de pedido</t>
  </si>
  <si>
    <t>Sprint 3</t>
  </si>
  <si>
    <t>HU03, HU04</t>
  </si>
  <si>
    <t>HU11</t>
  </si>
  <si>
    <t>Revisar solicitudes y elaborar cotizaciones</t>
  </si>
  <si>
    <t>HU05, HU08</t>
  </si>
  <si>
    <t>HU06</t>
  </si>
  <si>
    <t>Consultar y aceptar cotización</t>
  </si>
  <si>
    <t>Sprint 4</t>
  </si>
  <si>
    <t>HU12</t>
  </si>
  <si>
    <t>Organizar pedidos y actualizar su estado</t>
  </si>
  <si>
    <t>HU06, HU08</t>
  </si>
  <si>
    <t>HU02</t>
  </si>
  <si>
    <t>Consultar detalles de un pastel</t>
  </si>
  <si>
    <t>Importante</t>
  </si>
  <si>
    <t>HU07</t>
  </si>
  <si>
    <t>Consultar estado del pedido</t>
  </si>
  <si>
    <t>HU05, HU12</t>
  </si>
  <si>
    <t>Flujo:</t>
  </si>
  <si>
    <t>Por hacer → En proceso → En revisión → Terminado</t>
  </si>
  <si>
    <t>NIKO-NIKO  |  ÁNIMO DEL EQUIPO</t>
  </si>
  <si>
    <t>😊 Bien  ·  😐 Regular  ·  🙁 Difícil. Cada integrante registra su ánimo al terminar la jornada; es voluntario compartir detalles.</t>
  </si>
  <si>
    <t>Fecha</t>
  </si>
  <si>
    <t>Integrante</t>
  </si>
  <si>
    <t>Observaciones (opcional)</t>
  </si>
  <si>
    <t>Bloqueo que necesita apoyo</t>
  </si>
  <si>
    <t>Indicador</t>
  </si>
  <si>
    <t>Valor</t>
  </si>
  <si>
    <t>Registros capturados</t>
  </si>
  <si>
    <t>Días buenos</t>
  </si>
  <si>
    <t>Días regulares</t>
  </si>
  <si>
    <t>Días difíciles</t>
  </si>
  <si>
    <t>La línea real NO se inventa: escribir los puntos que falten en cada fecha. El gráfico distingue plan vs avance.</t>
  </si>
  <si>
    <t>Total puntos</t>
  </si>
  <si>
    <t>Semanas</t>
  </si>
  <si>
    <t>Puntos hoy (Kanban)</t>
  </si>
  <si>
    <t>Hechos (Kanban)</t>
  </si>
  <si>
    <t>Semana</t>
  </si>
  <si>
    <t>Fecha de revisión</t>
  </si>
  <si>
    <t>Restante ideal</t>
  </si>
  <si>
    <t>Restante real (editar)</t>
  </si>
  <si>
    <t>Solo ingresar avances reales en la columna amarilla. Nunca asignar 0 antes de terminar el proyecto.</t>
  </si>
  <si>
    <t>REPOSITORIO DE CÓDIGO  |  GITHUB</t>
  </si>
  <si>
    <t>El repositorio remoto se debe crear en la cuenta GitHub del equipo. Este archivo es únicamente una guía y checklist.</t>
  </si>
  <si>
    <t>Paso</t>
  </si>
  <si>
    <t>Acción</t>
  </si>
  <si>
    <t>Cómo hacerlo</t>
  </si>
  <si>
    <t>Crear cuenta / ingresar</t>
  </si>
  <si>
    <t>https://github.com</t>
  </si>
  <si>
    <t>No</t>
  </si>
  <si>
    <t>Crear repositorio</t>
  </si>
  <si>
    <t>New repository → miga-miel-pasteleria → Privado (o público si el profesor lo requiere)</t>
  </si>
  <si>
    <t>Subir código</t>
  </si>
  <si>
    <t>Add file → Upload files → index.html del prototipo elegido</t>
  </si>
  <si>
    <t>Crear README.md</t>
  </si>
  <si>
    <t>Descripción del proyecto, tecnologías, instrucciones de apertura</t>
  </si>
  <si>
    <t>Crear .gitignore</t>
  </si>
  <si>
    <t>Excluir archivos temporales y archivos del editor</t>
  </si>
  <si>
    <t>Invitar al equipo</t>
  </si>
  <si>
    <t>Settings → Collaborators; agregar las cuentas del equipo</t>
  </si>
  <si>
    <t>Realizar cambio y commit</t>
  </si>
  <si>
    <t>Editar un archivo y registrar un mensaje que explique el cambio</t>
  </si>
  <si>
    <t>Entregar URL y capturas</t>
  </si>
  <si>
    <t>Compartir la URL (con acceso adecuado) y evidencias</t>
  </si>
  <si>
    <t>Enlace del repositorio (pegar aquí):</t>
  </si>
  <si>
    <t>EVIDENCIAS: captura de tablero Trello, Niko-niko, gráfica Burndown y pantalla del repositorio con archivos/commits.</t>
  </si>
  <si>
    <t>Francisco Bracamontes</t>
  </si>
  <si>
    <t>😊 Bien</t>
  </si>
  <si>
    <t>Configuración del tablero Kanban en Trello y revisión de historias de usuario.</t>
  </si>
  <si>
    <t>Ninguno</t>
  </si>
  <si>
    <t>Estado de ánimo(Bien, Regular o Difícil)</t>
  </si>
  <si>
    <t>Elaboración de historias de usuario de la pastelería.</t>
  </si>
  <si>
    <t>Desarrollo y revisión de prototipos clickeables.</t>
  </si>
  <si>
    <t>Preparación</t>
  </si>
  <si>
    <t>En revisión</t>
  </si>
  <si>
    <t>Terminado</t>
  </si>
  <si>
    <t>Sprint Planificado</t>
  </si>
  <si>
    <t>BURNDOWN CHART  |  6 SEMANAS</t>
  </si>
  <si>
    <t>Sí</t>
  </si>
  <si>
    <t>No aplica – Proyecto individual</t>
  </si>
  <si>
    <t>Completado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</si>
</sst>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name val="Carlito"/>
    </font>
    <font>
      <b/>
      <sz val="15"/>
      <color rgb="FFFFFFFF"/>
      <name val="Carlito"/>
    </font>
    <font>
      <i/>
      <sz val="11"/>
      <color rgb="FF362F33"/>
      <name val="Carlito"/>
    </font>
    <font>
      <b/>
      <sz val="10"/>
      <color rgb="FFFFFFFF"/>
      <name val="Carlito"/>
    </font>
    <font>
      <sz val="10"/>
      <color rgb="FF362F33"/>
      <name val="Carlito"/>
    </font>
    <font>
      <b/>
      <sz val="11"/>
      <color rgb="FF665176"/>
      <name val="Carlito"/>
    </font>
    <font>
      <b/>
      <sz val="15"/>
      <color rgb="FF362F33"/>
      <name val="Carlito"/>
    </font>
    <font>
      <i/>
      <sz val="11"/>
      <color rgb="FF665176"/>
      <name val="Carlito"/>
    </font>
    <font>
      <sz val="11"/>
      <color rgb="FF362F33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362F33"/>
      </patternFill>
    </fill>
    <fill>
      <patternFill patternType="solid">
        <fgColor rgb="FFFBEAF0"/>
      </patternFill>
    </fill>
    <fill>
      <patternFill patternType="solid">
        <fgColor rgb="FFAB5975"/>
      </patternFill>
    </fill>
    <fill>
      <patternFill patternType="solid">
        <fgColor rgb="FFF5F2F6"/>
      </patternFill>
    </fill>
    <fill>
      <patternFill patternType="solid">
        <fgColor rgb="FFFFF2D7"/>
      </patternFill>
    </fill>
    <fill>
      <patternFill patternType="solid">
        <fgColor rgb="FFFFF8FA"/>
      </patternFill>
    </fill>
    <fill>
      <patternFill patternType="solid">
        <fgColor rgb="FFFFF6E7"/>
      </patternFill>
    </fill>
    <fill>
      <patternFill patternType="solid">
        <fgColor rgb="FFFFF4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5" borderId="0" xfId="0" applyFont="1" applyFill="1"/>
    <xf numFmtId="0" fontId="6" fillId="7" borderId="0" xfId="0" applyFont="1" applyFill="1"/>
    <xf numFmtId="9" fontId="6" fillId="7" borderId="0" xfId="0" applyNumberFormat="1" applyFont="1" applyFill="1"/>
    <xf numFmtId="0" fontId="4" fillId="8" borderId="0" xfId="0" applyFont="1" applyFill="1" applyAlignment="1">
      <alignment vertical="center" wrapText="1"/>
    </xf>
    <xf numFmtId="0" fontId="7" fillId="0" borderId="0" xfId="0" applyFont="1"/>
    <xf numFmtId="14" fontId="4" fillId="0" borderId="0" xfId="0" applyNumberFormat="1" applyFont="1" applyAlignment="1">
      <alignment vertical="center" wrapText="1"/>
    </xf>
    <xf numFmtId="164" fontId="4" fillId="0" borderId="0" xfId="0" applyNumberFormat="1" applyFont="1" applyAlignment="1">
      <alignment vertical="center" wrapText="1"/>
    </xf>
    <xf numFmtId="0" fontId="4" fillId="9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5" fillId="5" borderId="0" xfId="0" applyFont="1" applyFill="1"/>
    <xf numFmtId="0" fontId="4" fillId="0" borderId="0" xfId="0" applyFont="1" applyAlignment="1">
      <alignment vertical="center" wrapText="1"/>
    </xf>
    <xf numFmtId="0" fontId="2" fillId="6" borderId="0" xfId="0" applyFont="1" applyFill="1"/>
    <xf numFmtId="0" fontId="8" fillId="3" borderId="0" xfId="0" applyFont="1" applyFill="1"/>
    <xf numFmtId="0" fontId="8" fillId="6" borderId="0" xfId="0" applyFont="1" applyFill="1" applyAlignment="1">
      <alignment wrapText="1"/>
    </xf>
    <xf numFmtId="0" fontId="0" fillId="9" borderId="0" xfId="0" applyFill="1"/>
    <xf numFmtId="0" fontId="2" fillId="6" borderId="0" xfId="0" applyFont="1" applyFill="1" applyAlignment="1">
      <alignment wrapText="1"/>
    </xf>
  </cellXfs>
  <cellStyles count="1">
    <cellStyle name="Normal" xfId="0" builtinId="0"/>
  </cellStyles>
  <dxfs count="6">
    <dxf>
      <fill>
        <patternFill patternType="solid">
          <bgColor rgb="FFF9DBDC"/>
        </patternFill>
      </fill>
    </dxf>
    <dxf>
      <fill>
        <patternFill patternType="solid">
          <bgColor rgb="FFFFF2D7"/>
        </patternFill>
      </fill>
    </dxf>
    <dxf>
      <fill>
        <patternFill patternType="solid">
          <bgColor rgb="FFDDEBDD"/>
        </patternFill>
      </fill>
    </dxf>
    <dxf>
      <fill>
        <patternFill patternType="solid">
          <bgColor rgb="FFFBEAF0"/>
        </patternFill>
      </fill>
    </dxf>
    <dxf>
      <fill>
        <patternFill patternType="solid">
          <bgColor rgb="FFFFF2D7"/>
        </patternFill>
      </fill>
    </dxf>
    <dxf>
      <font>
        <color rgb="FF356D49"/>
      </font>
      <fill>
        <patternFill patternType="solid">
          <bgColor rgb="FFDDEBD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Ideal</c:v>
          </c:tx>
          <c:marker>
            <c:symbol val="none"/>
          </c:marker>
          <c:cat>
            <c:numRef>
              <c:f>Burndown!$B$9:$B$16</c:f>
              <c:numCache>
                <c:formatCode>m/d/yyyy</c:formatCode>
                <c:ptCount val="8"/>
                <c:pt idx="0">
                  <c:v>46321</c:v>
                </c:pt>
                <c:pt idx="1">
                  <c:v>46324</c:v>
                </c:pt>
                <c:pt idx="2">
                  <c:v>46335</c:v>
                </c:pt>
                <c:pt idx="3">
                  <c:v>46342</c:v>
                </c:pt>
                <c:pt idx="4">
                  <c:v>46349</c:v>
                </c:pt>
                <c:pt idx="5">
                  <c:v>46356</c:v>
                </c:pt>
                <c:pt idx="6">
                  <c:v>46360</c:v>
                </c:pt>
              </c:numCache>
            </c:numRef>
          </c:cat>
          <c:val>
            <c:numRef>
              <c:f>Burndown!$C$9:$C$16</c:f>
              <c:numCache>
                <c:formatCode>0.0</c:formatCode>
                <c:ptCount val="8"/>
                <c:pt idx="0">
                  <c:v>45</c:v>
                </c:pt>
                <c:pt idx="1">
                  <c:v>37.5</c:v>
                </c:pt>
                <c:pt idx="2">
                  <c:v>30.000000000000004</c:v>
                </c:pt>
                <c:pt idx="3">
                  <c:v>22.5</c:v>
                </c:pt>
                <c:pt idx="4">
                  <c:v>15.000000000000002</c:v>
                </c:pt>
                <c:pt idx="5">
                  <c:v>7.4999999999999982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A0-4AB1-ABE4-95E406322BAB}"/>
            </c:ext>
          </c:extLst>
        </c:ser>
        <c:ser>
          <c:idx val="1"/>
          <c:order val="1"/>
          <c:tx>
            <c:v>Real (registrar cada semana)</c:v>
          </c:tx>
          <c:marker>
            <c:symbol val="none"/>
          </c:marker>
          <c:cat>
            <c:numRef>
              <c:f>Burndown!$B$9:$B$16</c:f>
              <c:numCache>
                <c:formatCode>m/d/yyyy</c:formatCode>
                <c:ptCount val="8"/>
                <c:pt idx="0">
                  <c:v>46321</c:v>
                </c:pt>
                <c:pt idx="1">
                  <c:v>46324</c:v>
                </c:pt>
                <c:pt idx="2">
                  <c:v>46335</c:v>
                </c:pt>
                <c:pt idx="3">
                  <c:v>46342</c:v>
                </c:pt>
                <c:pt idx="4">
                  <c:v>46349</c:v>
                </c:pt>
                <c:pt idx="5">
                  <c:v>46356</c:v>
                </c:pt>
                <c:pt idx="6">
                  <c:v>46360</c:v>
                </c:pt>
              </c:numCache>
            </c:numRef>
          </c:cat>
          <c:val>
            <c:numRef>
              <c:f>Burndown!$D$9:$D$16</c:f>
              <c:numCache>
                <c:formatCode>General</c:formatCode>
                <c:ptCount val="8"/>
                <c:pt idx="0">
                  <c:v>45</c:v>
                </c:pt>
                <c:pt idx="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A0-4AB1-ABE4-95E406322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m/d/yyyy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zoomScale="85" zoomScaleNormal="85" workbookViewId="0">
      <pane ySplit="4" topLeftCell="A8" activePane="bottomLeft" state="frozen"/>
      <selection pane="bottomLeft" activeCell="D5" sqref="D5"/>
    </sheetView>
  </sheetViews>
  <sheetFormatPr baseColWidth="10" defaultColWidth="9" defaultRowHeight="14.25"/>
  <cols>
    <col min="1" max="1" width="27" customWidth="1"/>
    <col min="2" max="2" width="29" customWidth="1"/>
    <col min="3" max="3" width="47" customWidth="1"/>
    <col min="4" max="4" width="49" customWidth="1"/>
    <col min="5" max="7" width="14" customWidth="1"/>
  </cols>
  <sheetData>
    <row r="1" spans="1:7" ht="36" customHeight="1">
      <c r="A1" s="11" t="s">
        <v>0</v>
      </c>
      <c r="B1" s="11"/>
      <c r="C1" s="11"/>
      <c r="D1" s="11"/>
      <c r="E1" s="11"/>
      <c r="F1" s="11"/>
      <c r="G1" s="11"/>
    </row>
    <row r="2" spans="1:7" ht="29.1" customHeight="1">
      <c r="A2" s="12" t="s">
        <v>1</v>
      </c>
      <c r="B2" s="12"/>
      <c r="C2" s="12"/>
      <c r="D2" s="12"/>
      <c r="E2" s="12"/>
      <c r="F2" s="12"/>
      <c r="G2" s="12"/>
    </row>
    <row r="4" spans="1:7" ht="27.95" customHeight="1">
      <c r="A4" s="1" t="s">
        <v>2</v>
      </c>
      <c r="B4" s="1" t="s">
        <v>3</v>
      </c>
      <c r="C4" s="1" t="s">
        <v>4</v>
      </c>
      <c r="D4" s="1" t="s">
        <v>5</v>
      </c>
    </row>
    <row r="5" spans="1:7" ht="27" customHeight="1">
      <c r="A5" s="2" t="s">
        <v>6</v>
      </c>
      <c r="B5" s="2" t="s">
        <v>7</v>
      </c>
      <c r="C5" s="2" t="s">
        <v>8</v>
      </c>
      <c r="D5" s="2" t="s">
        <v>9</v>
      </c>
    </row>
    <row r="6" spans="1:7" ht="27" customHeight="1">
      <c r="A6" s="2" t="s">
        <v>10</v>
      </c>
      <c r="B6" s="2" t="s">
        <v>11</v>
      </c>
      <c r="C6" s="2" t="s">
        <v>12</v>
      </c>
      <c r="D6" s="2" t="s">
        <v>13</v>
      </c>
    </row>
    <row r="7" spans="1:7" ht="27" customHeight="1">
      <c r="A7" s="2" t="s">
        <v>14</v>
      </c>
      <c r="B7" s="2" t="s">
        <v>15</v>
      </c>
      <c r="C7" s="2" t="s">
        <v>16</v>
      </c>
      <c r="D7" s="2" t="s">
        <v>17</v>
      </c>
    </row>
    <row r="8" spans="1:7" ht="27" customHeight="1">
      <c r="A8" s="2" t="s">
        <v>18</v>
      </c>
      <c r="B8" s="2" t="s">
        <v>19</v>
      </c>
      <c r="C8" s="2" t="s">
        <v>20</v>
      </c>
      <c r="D8" s="2" t="s">
        <v>21</v>
      </c>
    </row>
    <row r="10" spans="1:7" ht="26.1" customHeight="1">
      <c r="A10" s="13" t="s">
        <v>22</v>
      </c>
      <c r="B10" s="13"/>
      <c r="C10" s="13"/>
      <c r="D10" s="13"/>
      <c r="E10" s="13"/>
      <c r="F10" s="13"/>
      <c r="G10" s="13"/>
    </row>
    <row r="11" spans="1:7" ht="27" customHeight="1">
      <c r="A11" s="14" t="s">
        <v>23</v>
      </c>
      <c r="B11" s="14"/>
      <c r="C11" s="14"/>
      <c r="D11" s="14"/>
      <c r="E11" s="14"/>
      <c r="F11" s="14"/>
      <c r="G11" s="14"/>
    </row>
    <row r="12" spans="1:7" ht="27" customHeight="1">
      <c r="A12" s="14" t="s">
        <v>24</v>
      </c>
      <c r="B12" s="14"/>
      <c r="C12" s="14"/>
      <c r="D12" s="14"/>
      <c r="E12" s="14"/>
      <c r="F12" s="14"/>
      <c r="G12" s="14"/>
    </row>
    <row r="13" spans="1:7" ht="27" customHeight="1">
      <c r="A13" s="14" t="s">
        <v>25</v>
      </c>
      <c r="B13" s="14"/>
      <c r="C13" s="14"/>
      <c r="D13" s="14"/>
      <c r="E13" s="14"/>
      <c r="F13" s="14"/>
      <c r="G13" s="14"/>
    </row>
    <row r="14" spans="1:7" ht="27" customHeight="1">
      <c r="A14" s="14" t="s">
        <v>26</v>
      </c>
      <c r="B14" s="14"/>
      <c r="C14" s="14"/>
      <c r="D14" s="14"/>
      <c r="E14" s="14"/>
      <c r="F14" s="14"/>
      <c r="G14" s="14"/>
    </row>
    <row r="15" spans="1:7" ht="27" customHeight="1">
      <c r="A15" s="14" t="s">
        <v>27</v>
      </c>
      <c r="B15" s="14"/>
      <c r="C15" s="14"/>
      <c r="D15" s="14"/>
      <c r="E15" s="14"/>
      <c r="F15" s="14"/>
      <c r="G15" s="14"/>
    </row>
    <row r="16" spans="1:7" ht="27" customHeight="1">
      <c r="A16" s="14" t="s">
        <v>28</v>
      </c>
      <c r="B16" s="14"/>
      <c r="C16" s="14"/>
      <c r="D16" s="14"/>
      <c r="E16" s="14"/>
      <c r="F16" s="14"/>
      <c r="G16" s="14"/>
    </row>
    <row r="18" spans="1:7" ht="30" customHeight="1">
      <c r="A18" s="15" t="s">
        <v>29</v>
      </c>
      <c r="B18" s="15"/>
      <c r="C18" s="15"/>
      <c r="D18" s="15"/>
      <c r="E18" s="15"/>
      <c r="F18" s="15"/>
      <c r="G18" s="15"/>
    </row>
  </sheetData>
  <mergeCells count="10">
    <mergeCell ref="A13:G13"/>
    <mergeCell ref="A14:G14"/>
    <mergeCell ref="A15:G15"/>
    <mergeCell ref="A16:G16"/>
    <mergeCell ref="A18:G18"/>
    <mergeCell ref="A1:G1"/>
    <mergeCell ref="A2:G2"/>
    <mergeCell ref="A10:G10"/>
    <mergeCell ref="A11:G11"/>
    <mergeCell ref="A12:G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zoomScale="70" zoomScaleNormal="70" workbookViewId="0">
      <pane ySplit="8" topLeftCell="A9" activePane="bottomLeft" state="frozen"/>
      <selection pane="bottomLeft" activeCell="E9" sqref="E9"/>
    </sheetView>
  </sheetViews>
  <sheetFormatPr baseColWidth="10" defaultColWidth="9" defaultRowHeight="14.25"/>
  <cols>
    <col min="1" max="1" width="11" customWidth="1"/>
    <col min="2" max="2" width="41" customWidth="1"/>
    <col min="3" max="3" width="18" customWidth="1"/>
    <col min="4" max="4" width="10" customWidth="1"/>
    <col min="5" max="5" width="14" customWidth="1"/>
    <col min="6" max="6" width="19" customWidth="1"/>
    <col min="7" max="8" width="17" customWidth="1"/>
    <col min="9" max="9" width="35" customWidth="1"/>
  </cols>
  <sheetData>
    <row r="1" spans="1:9" ht="36" customHeight="1">
      <c r="A1" s="11" t="s">
        <v>30</v>
      </c>
      <c r="B1" s="11"/>
      <c r="C1" s="11"/>
      <c r="D1" s="11"/>
      <c r="E1" s="11"/>
      <c r="F1" s="11"/>
      <c r="G1" s="11"/>
      <c r="H1" s="11"/>
      <c r="I1" s="11"/>
    </row>
    <row r="2" spans="1:9" ht="26.1" customHeight="1">
      <c r="A2" s="12" t="s">
        <v>31</v>
      </c>
      <c r="B2" s="12"/>
      <c r="C2" s="12"/>
      <c r="D2" s="12"/>
      <c r="E2" s="12"/>
      <c r="F2" s="12"/>
      <c r="G2" s="12"/>
      <c r="H2" s="12"/>
      <c r="I2" s="12"/>
    </row>
    <row r="4" spans="1:9" ht="24" customHeight="1">
      <c r="A4" s="3" t="s">
        <v>32</v>
      </c>
      <c r="B4" s="3" t="s">
        <v>33</v>
      </c>
      <c r="C4" s="3" t="s">
        <v>34</v>
      </c>
      <c r="E4" s="3" t="s">
        <v>35</v>
      </c>
      <c r="F4" s="3" t="s">
        <v>36</v>
      </c>
    </row>
    <row r="5" spans="1:9" ht="30.95" customHeight="1">
      <c r="A5" s="4">
        <f>COUNTA(A9:A20)</f>
        <v>12</v>
      </c>
      <c r="B5" s="4">
        <f>SUM(D9:D20)</f>
        <v>45</v>
      </c>
      <c r="C5" s="4">
        <f>SUMIF(G9:G20,"Terminado",D9:D20)</f>
        <v>37</v>
      </c>
      <c r="E5" s="4">
        <f>B5-C5</f>
        <v>8</v>
      </c>
      <c r="F5" s="5">
        <f>IFERROR(C5/B5,0)</f>
        <v>0.82222222222222219</v>
      </c>
    </row>
    <row r="8" spans="1:9" ht="27.95" customHeight="1">
      <c r="A8" s="1" t="s">
        <v>37</v>
      </c>
      <c r="B8" s="1" t="s">
        <v>38</v>
      </c>
      <c r="C8" s="1" t="s">
        <v>39</v>
      </c>
      <c r="D8" s="1" t="s">
        <v>40</v>
      </c>
      <c r="E8" s="1" t="s">
        <v>139</v>
      </c>
      <c r="F8" s="1" t="s">
        <v>42</v>
      </c>
      <c r="G8" s="1" t="s">
        <v>43</v>
      </c>
      <c r="H8" s="1" t="s">
        <v>44</v>
      </c>
      <c r="I8" s="1" t="s">
        <v>45</v>
      </c>
    </row>
    <row r="9" spans="1:9" ht="27" customHeight="1">
      <c r="A9" s="2" t="s">
        <v>46</v>
      </c>
      <c r="B9" s="2" t="s">
        <v>47</v>
      </c>
      <c r="C9" s="2" t="s">
        <v>48</v>
      </c>
      <c r="D9" s="2">
        <v>3</v>
      </c>
      <c r="E9" s="2" t="s">
        <v>49</v>
      </c>
      <c r="F9" s="6" t="s">
        <v>129</v>
      </c>
      <c r="G9" s="6" t="s">
        <v>138</v>
      </c>
      <c r="H9" s="2" t="s">
        <v>50</v>
      </c>
      <c r="I9" s="2"/>
    </row>
    <row r="10" spans="1:9" ht="27" customHeight="1">
      <c r="A10" s="2" t="s">
        <v>51</v>
      </c>
      <c r="B10" s="2" t="s">
        <v>52</v>
      </c>
      <c r="C10" s="2" t="s">
        <v>48</v>
      </c>
      <c r="D10" s="2">
        <v>5</v>
      </c>
      <c r="E10" s="2" t="s">
        <v>49</v>
      </c>
      <c r="F10" s="6" t="s">
        <v>129</v>
      </c>
      <c r="G10" s="6" t="s">
        <v>137</v>
      </c>
      <c r="H10" s="2" t="s">
        <v>46</v>
      </c>
      <c r="I10" s="2"/>
    </row>
    <row r="11" spans="1:9" ht="27" customHeight="1">
      <c r="A11" s="2" t="s">
        <v>53</v>
      </c>
      <c r="B11" s="2" t="s">
        <v>54</v>
      </c>
      <c r="C11" s="2" t="s">
        <v>48</v>
      </c>
      <c r="D11" s="2">
        <v>3</v>
      </c>
      <c r="E11" s="2" t="s">
        <v>49</v>
      </c>
      <c r="F11" s="6" t="s">
        <v>129</v>
      </c>
      <c r="G11" s="6" t="s">
        <v>137</v>
      </c>
      <c r="H11" s="2" t="s">
        <v>51</v>
      </c>
      <c r="I11" s="2"/>
    </row>
    <row r="12" spans="1:9" ht="27" customHeight="1">
      <c r="A12" s="2" t="s">
        <v>55</v>
      </c>
      <c r="B12" s="2" t="s">
        <v>56</v>
      </c>
      <c r="C12" s="2" t="s">
        <v>48</v>
      </c>
      <c r="D12" s="2">
        <v>5</v>
      </c>
      <c r="E12" s="2" t="s">
        <v>57</v>
      </c>
      <c r="F12" s="6" t="s">
        <v>129</v>
      </c>
      <c r="G12" s="6" t="s">
        <v>138</v>
      </c>
      <c r="H12" s="2" t="s">
        <v>53</v>
      </c>
      <c r="I12" s="2"/>
    </row>
    <row r="13" spans="1:9" ht="27" customHeight="1">
      <c r="A13" s="2" t="s">
        <v>58</v>
      </c>
      <c r="B13" s="2" t="s">
        <v>59</v>
      </c>
      <c r="C13" s="2" t="s">
        <v>48</v>
      </c>
      <c r="D13" s="2">
        <v>3</v>
      </c>
      <c r="E13" s="2" t="s">
        <v>57</v>
      </c>
      <c r="F13" s="6" t="s">
        <v>129</v>
      </c>
      <c r="G13" s="6" t="s">
        <v>138</v>
      </c>
      <c r="H13" s="2" t="s">
        <v>46</v>
      </c>
      <c r="I13" s="2"/>
    </row>
    <row r="14" spans="1:9" ht="27" customHeight="1">
      <c r="A14" s="2" t="s">
        <v>60</v>
      </c>
      <c r="B14" s="2" t="s">
        <v>61</v>
      </c>
      <c r="C14" s="2" t="s">
        <v>48</v>
      </c>
      <c r="D14" s="2">
        <v>3</v>
      </c>
      <c r="E14" s="2" t="s">
        <v>57</v>
      </c>
      <c r="F14" s="6" t="s">
        <v>129</v>
      </c>
      <c r="G14" s="6" t="s">
        <v>138</v>
      </c>
      <c r="H14" s="2" t="s">
        <v>58</v>
      </c>
      <c r="I14" s="2"/>
    </row>
    <row r="15" spans="1:9" ht="27" customHeight="1">
      <c r="A15" s="2" t="s">
        <v>62</v>
      </c>
      <c r="B15" s="2" t="s">
        <v>63</v>
      </c>
      <c r="C15" s="2" t="s">
        <v>48</v>
      </c>
      <c r="D15" s="2">
        <v>5</v>
      </c>
      <c r="E15" s="2" t="s">
        <v>64</v>
      </c>
      <c r="F15" s="6" t="s">
        <v>129</v>
      </c>
      <c r="G15" s="6" t="s">
        <v>138</v>
      </c>
      <c r="H15" s="2" t="s">
        <v>65</v>
      </c>
      <c r="I15" s="2"/>
    </row>
    <row r="16" spans="1:9" ht="27" customHeight="1">
      <c r="A16" s="2" t="s">
        <v>66</v>
      </c>
      <c r="B16" s="2" t="s">
        <v>67</v>
      </c>
      <c r="C16" s="2" t="s">
        <v>48</v>
      </c>
      <c r="D16" s="2">
        <v>5</v>
      </c>
      <c r="E16" s="2" t="s">
        <v>64</v>
      </c>
      <c r="F16" s="6" t="s">
        <v>129</v>
      </c>
      <c r="G16" s="6" t="s">
        <v>138</v>
      </c>
      <c r="H16" s="2" t="s">
        <v>68</v>
      </c>
      <c r="I16" s="2"/>
    </row>
    <row r="17" spans="1:9" ht="27" customHeight="1">
      <c r="A17" s="2" t="s">
        <v>69</v>
      </c>
      <c r="B17" s="2" t="s">
        <v>70</v>
      </c>
      <c r="C17" s="2" t="s">
        <v>48</v>
      </c>
      <c r="D17" s="2">
        <v>3</v>
      </c>
      <c r="E17" s="2" t="s">
        <v>71</v>
      </c>
      <c r="F17" s="6" t="s">
        <v>129</v>
      </c>
      <c r="G17" s="6" t="s">
        <v>138</v>
      </c>
      <c r="H17" s="2" t="s">
        <v>66</v>
      </c>
      <c r="I17" s="2"/>
    </row>
    <row r="18" spans="1:9" ht="27" customHeight="1">
      <c r="A18" s="2" t="s">
        <v>72</v>
      </c>
      <c r="B18" s="2" t="s">
        <v>73</v>
      </c>
      <c r="C18" s="2" t="s">
        <v>48</v>
      </c>
      <c r="D18" s="2">
        <v>5</v>
      </c>
      <c r="E18" s="2" t="s">
        <v>71</v>
      </c>
      <c r="F18" s="6" t="s">
        <v>129</v>
      </c>
      <c r="G18" s="6" t="s">
        <v>138</v>
      </c>
      <c r="H18" s="2" t="s">
        <v>74</v>
      </c>
      <c r="I18" s="2"/>
    </row>
    <row r="19" spans="1:9" ht="27" customHeight="1">
      <c r="A19" s="2" t="s">
        <v>75</v>
      </c>
      <c r="B19" s="2" t="s">
        <v>76</v>
      </c>
      <c r="C19" s="2" t="s">
        <v>77</v>
      </c>
      <c r="D19" s="2">
        <v>2</v>
      </c>
      <c r="E19" s="2" t="s">
        <v>64</v>
      </c>
      <c r="F19" s="6" t="s">
        <v>129</v>
      </c>
      <c r="G19" s="6" t="s">
        <v>138</v>
      </c>
      <c r="H19" s="2" t="s">
        <v>53</v>
      </c>
      <c r="I19" s="2"/>
    </row>
    <row r="20" spans="1:9" ht="27" customHeight="1">
      <c r="A20" s="2" t="s">
        <v>78</v>
      </c>
      <c r="B20" s="2" t="s">
        <v>79</v>
      </c>
      <c r="C20" s="2" t="s">
        <v>77</v>
      </c>
      <c r="D20" s="2">
        <v>3</v>
      </c>
      <c r="E20" s="2" t="s">
        <v>71</v>
      </c>
      <c r="F20" s="6" t="s">
        <v>129</v>
      </c>
      <c r="G20" s="6" t="s">
        <v>138</v>
      </c>
      <c r="H20" s="2" t="s">
        <v>80</v>
      </c>
      <c r="I20" s="2"/>
    </row>
    <row r="22" spans="1:9" ht="26.1" customHeight="1">
      <c r="F22" s="7" t="s">
        <v>81</v>
      </c>
      <c r="G22" s="7" t="s">
        <v>82</v>
      </c>
      <c r="H22" s="7"/>
      <c r="I22" s="7"/>
    </row>
  </sheetData>
  <mergeCells count="2">
    <mergeCell ref="A1:I1"/>
    <mergeCell ref="A2:I2"/>
  </mergeCells>
  <conditionalFormatting sqref="G9:G20">
    <cfRule type="expression" dxfId="5" priority="1">
      <formula>G9="Terminado"</formula>
    </cfRule>
    <cfRule type="expression" dxfId="4" priority="2">
      <formula>G9="En proceso"</formula>
    </cfRule>
    <cfRule type="expression" dxfId="3" priority="3">
      <formula>G9="En revisión"</formula>
    </cfRule>
  </conditionalFormatting>
  <dataValidations count="1">
    <dataValidation type="list" sqref="G9:G20" xr:uid="{00000000-0002-0000-0100-000000000000}">
      <formula1>"Por hacer,En proceso,En revisión,Terminado"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4"/>
  <sheetViews>
    <sheetView zoomScale="85" zoomScaleNormal="85" workbookViewId="0">
      <pane ySplit="4" topLeftCell="A5" activePane="bottomLeft" state="frozen"/>
      <selection pane="bottomLeft" activeCell="D10" sqref="D10"/>
    </sheetView>
  </sheetViews>
  <sheetFormatPr baseColWidth="10" defaultColWidth="9" defaultRowHeight="14.25"/>
  <cols>
    <col min="1" max="2" width="16" customWidth="1"/>
    <col min="3" max="3" width="22" customWidth="1"/>
    <col min="4" max="4" width="20" customWidth="1"/>
    <col min="5" max="5" width="37" customWidth="1"/>
    <col min="6" max="6" width="36" customWidth="1"/>
    <col min="7" max="7" width="4" customWidth="1"/>
    <col min="8" max="8" width="25" customWidth="1"/>
    <col min="9" max="9" width="16" customWidth="1"/>
  </cols>
  <sheetData>
    <row r="1" spans="1:9" ht="36" customHeight="1">
      <c r="A1" s="11" t="s">
        <v>83</v>
      </c>
      <c r="B1" s="11"/>
      <c r="C1" s="11"/>
      <c r="D1" s="11"/>
      <c r="E1" s="11"/>
      <c r="F1" s="11"/>
    </row>
    <row r="2" spans="1:9" ht="27.95" customHeight="1">
      <c r="A2" s="16" t="s">
        <v>84</v>
      </c>
      <c r="B2" s="16"/>
      <c r="C2" s="16"/>
      <c r="D2" s="16"/>
      <c r="E2" s="16"/>
      <c r="F2" s="16"/>
    </row>
    <row r="4" spans="1:9" ht="27.95" customHeight="1">
      <c r="A4" s="1" t="s">
        <v>85</v>
      </c>
      <c r="B4" s="1" t="s">
        <v>41</v>
      </c>
      <c r="C4" s="1" t="s">
        <v>86</v>
      </c>
      <c r="D4" s="1" t="s">
        <v>133</v>
      </c>
      <c r="E4" s="1" t="s">
        <v>87</v>
      </c>
      <c r="F4" s="1" t="s">
        <v>88</v>
      </c>
      <c r="H4" s="1" t="s">
        <v>89</v>
      </c>
      <c r="I4" s="1" t="s">
        <v>90</v>
      </c>
    </row>
    <row r="5" spans="1:9" ht="27" customHeight="1">
      <c r="A5" s="8">
        <v>46311</v>
      </c>
      <c r="B5" s="2" t="s">
        <v>136</v>
      </c>
      <c r="C5" s="2" t="s">
        <v>129</v>
      </c>
      <c r="D5" s="2" t="s">
        <v>130</v>
      </c>
      <c r="E5" s="2" t="s">
        <v>134</v>
      </c>
      <c r="F5" s="2" t="s">
        <v>132</v>
      </c>
      <c r="H5" s="2" t="s">
        <v>91</v>
      </c>
      <c r="I5" s="2">
        <f>COUNTIF(D5:D8,"?*")</f>
        <v>3</v>
      </c>
    </row>
    <row r="6" spans="1:9" ht="27" customHeight="1">
      <c r="A6" s="8">
        <v>46316</v>
      </c>
      <c r="B6" s="2" t="s">
        <v>136</v>
      </c>
      <c r="C6" s="2" t="s">
        <v>129</v>
      </c>
      <c r="D6" s="2" t="s">
        <v>130</v>
      </c>
      <c r="E6" s="2" t="s">
        <v>135</v>
      </c>
      <c r="F6" s="2" t="s">
        <v>132</v>
      </c>
      <c r="H6" s="2" t="s">
        <v>92</v>
      </c>
      <c r="I6" s="2">
        <f>COUNTIF(D5:D8,"😊 Bien")</f>
        <v>3</v>
      </c>
    </row>
    <row r="7" spans="1:9" ht="27" customHeight="1">
      <c r="A7" s="8">
        <v>46324</v>
      </c>
      <c r="B7" s="2" t="s">
        <v>49</v>
      </c>
      <c r="C7" s="2" t="s">
        <v>129</v>
      </c>
      <c r="D7" s="2" t="s">
        <v>130</v>
      </c>
      <c r="E7" s="2" t="s">
        <v>131</v>
      </c>
      <c r="F7" s="2" t="s">
        <v>132</v>
      </c>
      <c r="H7" s="2" t="s">
        <v>93</v>
      </c>
      <c r="I7" s="2">
        <f>COUNTIF(D5:D8,"😐 Regular")</f>
        <v>0</v>
      </c>
    </row>
    <row r="8" spans="1:9" ht="27" customHeight="1">
      <c r="A8" s="8"/>
      <c r="B8" s="2"/>
      <c r="C8" s="2"/>
      <c r="D8" s="2"/>
      <c r="E8" s="2"/>
      <c r="F8" s="2"/>
      <c r="H8" s="2" t="s">
        <v>94</v>
      </c>
      <c r="I8" s="2">
        <f>COUNTIF(D5:D8,"🙁 Difícil")</f>
        <v>0</v>
      </c>
    </row>
    <row r="9" spans="1:9" ht="27" customHeight="1"/>
    <row r="10" spans="1:9" ht="27" customHeight="1"/>
    <row r="11" spans="1:9" ht="27" customHeight="1"/>
    <row r="12" spans="1:9" ht="27" customHeight="1"/>
    <row r="13" spans="1:9" ht="27" customHeight="1"/>
    <row r="14" spans="1:9" ht="27" customHeight="1"/>
    <row r="15" spans="1:9" ht="27" customHeight="1"/>
    <row r="16" spans="1:9" ht="27" customHeight="1"/>
    <row r="17" ht="27" customHeight="1"/>
    <row r="18" ht="27" customHeight="1"/>
    <row r="19" ht="27" customHeight="1"/>
    <row r="20" ht="27" customHeight="1"/>
    <row r="21" ht="27" customHeight="1"/>
    <row r="22" ht="27" customHeight="1"/>
    <row r="23" ht="27" customHeight="1"/>
    <row r="24" ht="27" customHeight="1"/>
    <row r="25" ht="27" customHeight="1"/>
    <row r="26" ht="27" customHeight="1"/>
    <row r="27" ht="27" customHeight="1"/>
    <row r="28" ht="27" customHeight="1"/>
    <row r="29" ht="27" customHeight="1"/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  <row r="121" ht="27" customHeight="1"/>
    <row r="122" ht="27" customHeight="1"/>
    <row r="123" ht="27" customHeight="1"/>
    <row r="124" ht="27" customHeight="1"/>
    <row r="125" ht="27" customHeight="1"/>
    <row r="126" ht="27" customHeight="1"/>
    <row r="127" ht="27" customHeight="1"/>
    <row r="128" ht="27" customHeight="1"/>
    <row r="129" ht="27" customHeight="1"/>
    <row r="130" ht="27" customHeight="1"/>
    <row r="131" ht="27" customHeight="1"/>
    <row r="132" ht="27" customHeight="1"/>
    <row r="133" ht="27" customHeight="1"/>
    <row r="134" ht="27" customHeight="1"/>
    <row r="135" ht="27" customHeight="1"/>
    <row r="136" ht="27" customHeight="1"/>
    <row r="137" ht="27" customHeight="1"/>
    <row r="138" ht="27" customHeight="1"/>
    <row r="139" ht="27" customHeight="1"/>
    <row r="140" ht="27" customHeight="1"/>
    <row r="141" ht="27" customHeight="1"/>
    <row r="142" ht="27" customHeight="1"/>
    <row r="143" ht="27" customHeight="1"/>
    <row r="144" ht="27" customHeight="1"/>
    <row r="145" ht="27" customHeight="1"/>
    <row r="146" ht="27" customHeight="1"/>
    <row r="147" ht="27" customHeight="1"/>
    <row r="148" ht="27" customHeight="1"/>
    <row r="149" ht="27" customHeight="1"/>
    <row r="150" ht="27" customHeight="1"/>
    <row r="151" ht="27" customHeight="1"/>
    <row r="152" ht="27" customHeight="1"/>
    <row r="153" ht="27" customHeight="1"/>
    <row r="154" ht="27" customHeight="1"/>
    <row r="155" ht="27" customHeight="1"/>
    <row r="156" ht="27" customHeight="1"/>
    <row r="157" ht="27" customHeight="1"/>
    <row r="158" ht="27" customHeight="1"/>
    <row r="159" ht="27" customHeight="1"/>
    <row r="160" ht="27" customHeight="1"/>
    <row r="161" ht="27" customHeight="1"/>
    <row r="162" ht="27" customHeight="1"/>
    <row r="163" ht="27" customHeight="1"/>
    <row r="164" ht="27" customHeight="1"/>
  </sheetData>
  <mergeCells count="2">
    <mergeCell ref="A1:F1"/>
    <mergeCell ref="A2:F2"/>
  </mergeCells>
  <conditionalFormatting sqref="D5:D8">
    <cfRule type="expression" dxfId="2" priority="1">
      <formula>D5="😊 Bien"</formula>
    </cfRule>
    <cfRule type="expression" dxfId="1" priority="2">
      <formula>D5="😐 Regular"</formula>
    </cfRule>
    <cfRule type="expression" dxfId="0" priority="3">
      <formula>D5="🙁 Difícil"</formula>
    </cfRule>
  </conditionalFormatting>
  <dataValidations count="1">
    <dataValidation type="list" sqref="D5:D8" xr:uid="{00000000-0002-0000-0200-000000000000}">
      <formula1>"😊 Bien,😐 Regular,🙁 Difícil"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zoomScale="70" zoomScaleNormal="70" workbookViewId="0">
      <pane ySplit="8" topLeftCell="A9" activePane="bottomLeft" state="frozen"/>
      <selection pane="bottomLeft" activeCell="D14" sqref="D14"/>
    </sheetView>
  </sheetViews>
  <sheetFormatPr baseColWidth="10" defaultColWidth="9" defaultRowHeight="14.25"/>
  <cols>
    <col min="1" max="1" width="14" customWidth="1"/>
    <col min="2" max="2" width="22" customWidth="1"/>
    <col min="3" max="3" width="24" customWidth="1"/>
    <col min="4" max="4" width="30" customWidth="1"/>
    <col min="5" max="5" width="4" customWidth="1"/>
    <col min="6" max="12" width="15" customWidth="1"/>
  </cols>
  <sheetData>
    <row r="1" spans="1:8" ht="36" customHeight="1">
      <c r="A1" s="11" t="s">
        <v>140</v>
      </c>
      <c r="B1" s="11"/>
      <c r="C1" s="11"/>
      <c r="D1" s="11"/>
      <c r="E1" s="11"/>
      <c r="F1" s="11"/>
      <c r="G1" s="11"/>
      <c r="H1" s="11"/>
    </row>
    <row r="2" spans="1:8" ht="27.95" customHeight="1">
      <c r="A2" s="12" t="s">
        <v>95</v>
      </c>
      <c r="B2" s="12"/>
      <c r="C2" s="12"/>
      <c r="D2" s="12"/>
      <c r="E2" s="12"/>
      <c r="F2" s="12"/>
      <c r="G2" s="12"/>
      <c r="H2" s="12"/>
    </row>
    <row r="4" spans="1:8" ht="27.95" customHeight="1">
      <c r="A4" s="1" t="s">
        <v>96</v>
      </c>
      <c r="B4" s="1" t="s">
        <v>97</v>
      </c>
      <c r="C4" s="1" t="s">
        <v>98</v>
      </c>
      <c r="D4" s="1" t="s">
        <v>99</v>
      </c>
    </row>
    <row r="5" spans="1:8" ht="27" customHeight="1">
      <c r="A5" s="2">
        <f>Kanban!B5</f>
        <v>45</v>
      </c>
      <c r="B5" s="2">
        <v>6</v>
      </c>
      <c r="C5" s="2">
        <f>Kanban!E5</f>
        <v>8</v>
      </c>
      <c r="D5" s="2">
        <f>Kanban!C5</f>
        <v>37</v>
      </c>
    </row>
    <row r="8" spans="1:8" ht="27.95" customHeight="1">
      <c r="A8" s="1" t="s">
        <v>100</v>
      </c>
      <c r="B8" s="1" t="s">
        <v>101</v>
      </c>
      <c r="C8" s="1" t="s">
        <v>102</v>
      </c>
      <c r="D8" s="1" t="s">
        <v>103</v>
      </c>
    </row>
    <row r="9" spans="1:8" ht="27" customHeight="1">
      <c r="A9" s="2">
        <v>0</v>
      </c>
      <c r="B9" s="8">
        <v>46321</v>
      </c>
      <c r="C9" s="9">
        <f>MAX(0,$A$5*(1-A9/$B$5))</f>
        <v>45</v>
      </c>
      <c r="D9" s="2">
        <f>$A$5</f>
        <v>45</v>
      </c>
    </row>
    <row r="10" spans="1:8" ht="27" customHeight="1">
      <c r="A10" s="2">
        <v>1</v>
      </c>
      <c r="B10" s="8">
        <v>46324</v>
      </c>
      <c r="C10" s="9">
        <f t="shared" ref="C9:C16" si="0">MAX(0,$A$5*(1-A10/$B$5))</f>
        <v>37.5</v>
      </c>
      <c r="D10" s="10">
        <v>8</v>
      </c>
    </row>
    <row r="11" spans="1:8" ht="27" customHeight="1">
      <c r="A11" s="2">
        <v>2</v>
      </c>
      <c r="B11" s="8">
        <v>46335</v>
      </c>
      <c r="C11" s="9">
        <f t="shared" si="0"/>
        <v>30.000000000000004</v>
      </c>
      <c r="D11" s="10"/>
    </row>
    <row r="12" spans="1:8" ht="27" customHeight="1">
      <c r="A12" s="2">
        <v>3</v>
      </c>
      <c r="B12" s="8">
        <v>46342</v>
      </c>
      <c r="C12" s="9">
        <f t="shared" si="0"/>
        <v>22.5</v>
      </c>
      <c r="D12" s="10"/>
    </row>
    <row r="13" spans="1:8" ht="27" customHeight="1">
      <c r="A13" s="2">
        <v>4</v>
      </c>
      <c r="B13" s="8">
        <v>46349</v>
      </c>
      <c r="C13" s="9">
        <f t="shared" si="0"/>
        <v>15.000000000000002</v>
      </c>
      <c r="D13" s="10"/>
    </row>
    <row r="14" spans="1:8" ht="27" customHeight="1">
      <c r="A14" s="2">
        <v>5</v>
      </c>
      <c r="B14" s="8">
        <v>46356</v>
      </c>
      <c r="C14" s="9">
        <f t="shared" si="0"/>
        <v>7.4999999999999982</v>
      </c>
      <c r="D14" s="10"/>
    </row>
    <row r="15" spans="1:8" ht="27" customHeight="1">
      <c r="A15" s="2">
        <v>6</v>
      </c>
      <c r="B15" s="8">
        <v>46360</v>
      </c>
      <c r="C15" s="9">
        <f t="shared" si="0"/>
        <v>0</v>
      </c>
      <c r="D15" s="10"/>
    </row>
    <row r="16" spans="1:8" ht="27" customHeight="1">
      <c r="A16" s="2"/>
      <c r="B16" s="8"/>
      <c r="C16" s="9"/>
      <c r="D16" s="10"/>
    </row>
    <row r="17" spans="1:4" ht="27" customHeight="1"/>
    <row r="19" spans="1:4" ht="30" customHeight="1">
      <c r="A19" s="17" t="s">
        <v>104</v>
      </c>
      <c r="B19" s="17"/>
      <c r="C19" s="17"/>
      <c r="D19" s="17"/>
    </row>
  </sheetData>
  <mergeCells count="3">
    <mergeCell ref="A1:H1"/>
    <mergeCell ref="A2:H2"/>
    <mergeCell ref="A19:D1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"/>
  <sheetViews>
    <sheetView tabSelected="1" workbookViewId="0">
      <pane ySplit="4" topLeftCell="A5" activePane="bottomLeft" state="frozen"/>
      <selection pane="bottomLeft" activeCell="D4" sqref="D4"/>
    </sheetView>
  </sheetViews>
  <sheetFormatPr baseColWidth="10" defaultColWidth="9" defaultRowHeight="14.25"/>
  <cols>
    <col min="1" max="1" width="11" customWidth="1"/>
    <col min="2" max="2" width="28" customWidth="1"/>
    <col min="3" max="3" width="79" customWidth="1"/>
    <col min="4" max="4" width="24" customWidth="1"/>
    <col min="5" max="5" width="17" customWidth="1"/>
    <col min="6" max="6" width="16" customWidth="1"/>
  </cols>
  <sheetData>
    <row r="1" spans="1:6" ht="36" customHeight="1">
      <c r="A1" s="11" t="s">
        <v>105</v>
      </c>
      <c r="B1" s="11"/>
      <c r="C1" s="11"/>
      <c r="D1" s="11"/>
      <c r="E1" s="11"/>
      <c r="F1" s="11"/>
    </row>
    <row r="2" spans="1:6" ht="27.95" customHeight="1">
      <c r="A2" s="16" t="s">
        <v>106</v>
      </c>
      <c r="B2" s="16"/>
      <c r="C2" s="16"/>
      <c r="D2" s="16"/>
      <c r="E2" s="16"/>
      <c r="F2" s="16"/>
    </row>
    <row r="4" spans="1:6" ht="27.95" customHeight="1">
      <c r="A4" s="1" t="s">
        <v>107</v>
      </c>
      <c r="B4" s="1" t="s">
        <v>108</v>
      </c>
      <c r="C4" s="1" t="s">
        <v>109</v>
      </c>
      <c r="D4" s="1" t="s">
        <v>143</v>
      </c>
    </row>
    <row r="5" spans="1:6" ht="27" customHeight="1">
      <c r="A5" s="2">
        <v>1</v>
      </c>
      <c r="B5" s="2" t="s">
        <v>110</v>
      </c>
      <c r="C5" s="2" t="s">
        <v>111</v>
      </c>
      <c r="D5" s="2" t="s">
        <v>141</v>
      </c>
    </row>
    <row r="6" spans="1:6" ht="27" customHeight="1">
      <c r="A6" s="2">
        <v>2</v>
      </c>
      <c r="B6" s="2" t="s">
        <v>113</v>
      </c>
      <c r="C6" s="2" t="s">
        <v>114</v>
      </c>
      <c r="D6" s="2" t="s">
        <v>141</v>
      </c>
    </row>
    <row r="7" spans="1:6" ht="27" customHeight="1">
      <c r="A7" s="2">
        <v>3</v>
      </c>
      <c r="B7" s="2" t="s">
        <v>115</v>
      </c>
      <c r="C7" s="2" t="s">
        <v>116</v>
      </c>
      <c r="D7" s="2" t="s">
        <v>141</v>
      </c>
    </row>
    <row r="8" spans="1:6" ht="27" customHeight="1">
      <c r="A8" s="2">
        <v>4</v>
      </c>
      <c r="B8" s="2" t="s">
        <v>117</v>
      </c>
      <c r="C8" s="2" t="s">
        <v>118</v>
      </c>
      <c r="D8" s="2" t="s">
        <v>141</v>
      </c>
    </row>
    <row r="9" spans="1:6" ht="27" customHeight="1">
      <c r="A9" s="2">
        <v>5</v>
      </c>
      <c r="B9" s="2" t="s">
        <v>119</v>
      </c>
      <c r="C9" s="2" t="s">
        <v>120</v>
      </c>
      <c r="D9" s="2" t="s">
        <v>112</v>
      </c>
    </row>
    <row r="10" spans="1:6" ht="27" customHeight="1">
      <c r="A10" s="2">
        <v>6</v>
      </c>
      <c r="B10" s="2" t="s">
        <v>121</v>
      </c>
      <c r="C10" s="2" t="s">
        <v>122</v>
      </c>
      <c r="D10" s="2" t="s">
        <v>142</v>
      </c>
    </row>
    <row r="11" spans="1:6" ht="27" customHeight="1">
      <c r="A11" s="2">
        <v>7</v>
      </c>
      <c r="B11" s="2" t="s">
        <v>123</v>
      </c>
      <c r="C11" s="2" t="s">
        <v>124</v>
      </c>
      <c r="D11" s="2" t="s">
        <v>112</v>
      </c>
    </row>
    <row r="12" spans="1:6" ht="27" customHeight="1">
      <c r="A12" s="2">
        <v>8</v>
      </c>
      <c r="B12" s="2" t="s">
        <v>125</v>
      </c>
      <c r="C12" s="2" t="s">
        <v>126</v>
      </c>
      <c r="D12" s="2" t="s">
        <v>112</v>
      </c>
    </row>
    <row r="15" spans="1:6" ht="24" customHeight="1">
      <c r="A15" s="13" t="s">
        <v>127</v>
      </c>
      <c r="B15" s="13"/>
      <c r="C15" s="13"/>
      <c r="D15" s="13"/>
      <c r="E15" s="13"/>
      <c r="F15" s="13"/>
    </row>
    <row r="16" spans="1:6" ht="33.950000000000003" customHeight="1">
      <c r="A16" s="18"/>
      <c r="B16" s="18"/>
      <c r="C16" s="18"/>
      <c r="D16" s="18"/>
      <c r="E16" s="18"/>
      <c r="F16" s="18"/>
    </row>
    <row r="18" spans="1:6" ht="38.1" customHeight="1">
      <c r="A18" s="19" t="s">
        <v>128</v>
      </c>
      <c r="B18" s="19"/>
      <c r="C18" s="19"/>
      <c r="D18" s="19"/>
      <c r="E18" s="19"/>
      <c r="F18" s="19"/>
    </row>
  </sheetData>
  <mergeCells count="5">
    <mergeCell ref="A1:F1"/>
    <mergeCell ref="A2:F2"/>
    <mergeCell ref="A15:F15"/>
    <mergeCell ref="A16:F16"/>
    <mergeCell ref="A18:F18"/>
  </mergeCells>
  <dataValidations count="1">
    <dataValidation type="list" sqref="D5:D12" xr:uid="{00000000-0002-0000-0400-000000000000}">
      <formula1>"No,Sí"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Guia</vt:lpstr>
      <vt:lpstr>Kanban</vt:lpstr>
      <vt:lpstr>Niko-Niko</vt:lpstr>
      <vt:lpstr>Burndown</vt:lpstr>
      <vt:lpstr>Repositorio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 Yucky I</cp:lastModifiedBy>
  <dcterms:modified xsi:type="dcterms:W3CDTF">2026-10-29T10:23:42Z</dcterms:modified>
</cp:coreProperties>
</file>